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ino\Downloads\"/>
    </mc:Choice>
  </mc:AlternateContent>
  <xr:revisionPtr revIDLastSave="0" documentId="8_{AB9BDDD5-1234-41CF-A719-8DAC0EB228A5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Consegna" sheetId="1" r:id="rId1"/>
    <sheet name="Lavoro" sheetId="2" r:id="rId2"/>
    <sheet name="Soluzione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51" i="3" l="1"/>
  <c r="D51" i="3"/>
  <c r="C51" i="3"/>
  <c r="B51" i="3"/>
  <c r="E50" i="3"/>
  <c r="D50" i="3"/>
  <c r="C50" i="3"/>
  <c r="B50" i="3"/>
  <c r="E49" i="3"/>
  <c r="D49" i="3"/>
  <c r="C49" i="3"/>
  <c r="H48" i="3" s="1"/>
  <c r="H49" i="3" s="1"/>
  <c r="D59" i="3" s="1"/>
  <c r="B49" i="3"/>
  <c r="E48" i="3"/>
  <c r="D48" i="3"/>
  <c r="C48" i="3"/>
  <c r="B48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H41" i="3" s="1"/>
  <c r="H42" i="3" s="1"/>
  <c r="D58" i="3" s="1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H34" i="3" s="1"/>
  <c r="H35" i="3" s="1"/>
  <c r="D57" i="3" s="1"/>
  <c r="C34" i="3"/>
  <c r="B34" i="3"/>
  <c r="E30" i="3"/>
  <c r="D30" i="3"/>
  <c r="C30" i="3"/>
  <c r="B30" i="3"/>
  <c r="E29" i="3"/>
  <c r="D29" i="3"/>
  <c r="C29" i="3"/>
  <c r="B29" i="3"/>
  <c r="E28" i="3"/>
  <c r="D28" i="3"/>
  <c r="C28" i="3"/>
  <c r="B28" i="3"/>
  <c r="H27" i="3"/>
  <c r="H28" i="3" s="1"/>
  <c r="D56" i="3" s="1"/>
  <c r="E27" i="3"/>
  <c r="D27" i="3"/>
  <c r="C27" i="3"/>
  <c r="B27" i="3"/>
  <c r="B13" i="3" a="1"/>
  <c r="D15" i="3" s="1"/>
  <c r="C10" i="3"/>
  <c r="C11" i="3" s="1"/>
  <c r="E13" i="3" l="1"/>
  <c r="C14" i="3"/>
  <c r="C16" i="3"/>
  <c r="D14" i="3"/>
  <c r="D16" i="3"/>
  <c r="B16" i="3"/>
  <c r="E14" i="3"/>
  <c r="E16" i="3"/>
  <c r="B15" i="3"/>
  <c r="E15" i="3"/>
  <c r="B14" i="3"/>
  <c r="B13" i="3"/>
  <c r="C13" i="3"/>
  <c r="C15" i="3"/>
  <c r="D13" i="3"/>
  <c r="G13" i="3" l="1" a="1"/>
  <c r="B19" i="3" a="1"/>
  <c r="E21" i="3" l="1"/>
  <c r="E19" i="3"/>
  <c r="D21" i="3"/>
  <c r="D19" i="3"/>
  <c r="B21" i="3"/>
  <c r="C22" i="3"/>
  <c r="B22" i="3"/>
  <c r="C21" i="3"/>
  <c r="C19" i="3"/>
  <c r="C20" i="3"/>
  <c r="B20" i="3"/>
  <c r="E22" i="3"/>
  <c r="E20" i="3"/>
  <c r="B19" i="3"/>
  <c r="D22" i="3"/>
  <c r="D20" i="3"/>
  <c r="G14" i="3"/>
  <c r="C57" i="3" s="1"/>
  <c r="E57" i="3" s="1"/>
  <c r="G16" i="3"/>
  <c r="C59" i="3" s="1"/>
  <c r="E59" i="3" s="1"/>
  <c r="G13" i="3"/>
  <c r="G15" i="3"/>
  <c r="C58" i="3" s="1"/>
  <c r="E58" i="3" s="1"/>
  <c r="C56" i="3" l="1"/>
  <c r="E56" i="3" s="1"/>
  <c r="I13" i="3" a="1"/>
  <c r="I16" i="3" l="1"/>
  <c r="J16" i="3" s="1"/>
  <c r="I15" i="3"/>
  <c r="J15" i="3" s="1"/>
  <c r="I14" i="3"/>
  <c r="J14" i="3" s="1"/>
  <c r="I13" i="3"/>
  <c r="J13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5" authorId="0" shapeId="0" xr:uid="{00000000-0006-0000-0100-000001000000}">
      <text>
        <r>
          <rPr>
            <sz val="10"/>
            <rFont val="Arial"/>
            <family val="2"/>
          </rPr>
          <t>Coefficienti forniti dalla consegna dell'esercizio.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5" authorId="0" shapeId="0" xr:uid="{00000000-0006-0000-0200-000001000000}">
      <text>
        <r>
          <rPr>
            <sz val="10"/>
            <rFont val="Arial"/>
            <family val="2"/>
          </rPr>
          <t>Coefficienti forniti dalla consegna dell'esercizio.</t>
        </r>
      </text>
    </comment>
  </commentList>
</comments>
</file>

<file path=xl/sharedStrings.xml><?xml version="1.0" encoding="utf-8"?>
<sst xmlns="http://schemas.openxmlformats.org/spreadsheetml/2006/main" count="164" uniqueCount="78">
  <si>
    <t>Esercitazione guidata – Sistemi lineari 4×4 con Excel (metodo matriciale e regola di Cramer)</t>
  </si>
  <si>
    <t>Liceo Scientifico "Nino Cortese" – Informatica – Prof. Ing. Antonio Adinolfi</t>
  </si>
  <si>
    <t>OBIETTIVI</t>
  </si>
  <si>
    <t>• Rappresentare un sistema lineare in forma matriciale A·X = B.
• Usare le funzioni matriciali di Excel: MATR.DETERM, MATR.INVERSA, MATR.PRODOTTO.
• Risolvere il sistema con X = A⁻¹·B e verificare il risultato.
• Applicare la regola di Cramer costruendo le matrici sostitutive con riferimenti di cella.</t>
  </si>
  <si>
    <t>PREREQUISITI</t>
  </si>
  <si>
    <t>Riferimenti relativi/assoluti, inserimento di formule, concetto di matrice, determinante e matrice inversa (dal programma di Matematica).</t>
  </si>
  <si>
    <t>IL SISTEMA DA RISOLVERE</t>
  </si>
  <si>
    <t xml:space="preserve">  2x +  y −  z + 3w =  3
   x − 2y + 3z −  w = 12
  3x +  y + 2z − 2w =  9
 −x + 3y +  z + 2w =  0</t>
  </si>
  <si>
    <t>NOTE OPERATIVE (leggere prima di iniziare)</t>
  </si>
  <si>
    <t>• Excel in italiano usa il punto e virgola come separatore degli argomenti: =MATR.PRODOTTO(B13:E16;G5:G8).
• Excel 365 / 2021: le funzioni matriciali 'riversano' (spill) il risultato: scrivete la formula nella SOLA cella in alto a sinistra e premete Invio.
• Excel 2019 e precedenti: selezionate PRIMA l'intero intervallo di destinazione (es. 4×4), scrivete la formula e confermate con Ctrl+Maiusc+Invio (formula di matrice, appare tra parentesi graffe).
• Lavorate nel foglio "Lavoro": le celle GIALLE sono quelle da compilare; le celle AZZURRE contengono i dati.</t>
  </si>
  <si>
    <t>PASSI GUIDATI (foglio "Lavoro")</t>
  </si>
  <si>
    <t>PASSO 1 – Forma matriciale. Osservate come i coefficienti sono stati disposti in B5:E8 (matrice A) e i termini noti in G5:G8 (vettore B). Domanda: perché nella riga 1 il coefficiente di z vale −1? Che cosa si scriverebbe se un'incognita mancasse in un'equazione?</t>
  </si>
  <si>
    <t>PASSO 2 – Determinante. In C10 calcolate det(A) con =MATR.DETERM(B5:E8). In C11 scrivete con una funzione SE se il sistema è determinato: =SE(ASS(C10)&gt;1E-9;"Sistema determinato";"det = 0: sistema non determinato"). Perché si confronta con 1E-9 e non con 0?</t>
  </si>
  <si>
    <t>PASSO 3 – Matrice inversa. In B13:E16 calcolate A⁻¹ con =MATR.INVERSA(B5:E8). Formattate le celle con 4 decimali.</t>
  </si>
  <si>
    <t>PASSO 4 – Soluzione. In G13:G16 calcolate X = A⁻¹·B con =MATR.PRODOTTO(B13:E16;G5:G8). Attenzione all'ORDINE dei fattori: il prodotto matriciale non è commutativo.</t>
  </si>
  <si>
    <t>PASSO 5 – Verifica. In I13:I16 calcolate A·X con =MATR.PRODOTTO(B5:E8;G13:G16) e in J13:J16 il residuo (A·X − B), es. in J13: =I13-G5. Infine in B19:E22 calcolate A·A⁻¹: che matrice dovete ottenere? Notate valori come 1,1E-16? Spiegate da dove vengono (aritmetica in virgola mobile, IEEE 754).</t>
  </si>
  <si>
    <t>PASSO 6 – Regola di Cramer. Nelle quattro griglie gialle a partire dalla riga 26 costruite Ax, Ay, Az, Aw: copiate A sostituendo la colonna dell'incognita con B. USATE SOLO RIFERIMENTI DI CELLA (es. =$G5), mai numeri ricopiati a mano. Sotto ogni griglia calcolate il determinante e il valore dell'incognita = det(Ak)/det(A).</t>
  </si>
  <si>
    <t>PASSO 7 – Confronto. Confrontate le soluzioni ottenute con i due metodi. Coincidono? Quale metodo richiede più operazioni al crescere di n?</t>
  </si>
  <si>
    <t>PER APPROFONDIRE</t>
  </si>
  <si>
    <t>A) Sistema impossibile o indeterminato: sostituite la riga 4 di A con la somma delle righe 1 e 2 (3; −1; 2; 2). Che cosa vale det(A)? Che cosa restituisce MATR.INVERSA? Ponete poi il termine noto b4 = 15 e successivamente b4 = 10: in quale caso il sistema è indeterminato e in quale impossibile? (Suggerimento: teorema di Rouché-Capelli.)</t>
  </si>
  <si>
    <t>B) Modificate un solo coefficiente di A: tutto il foglio si ricalcola. Perché è questo il vantaggio di usare riferimenti invece di valori?</t>
  </si>
  <si>
    <t>C) Risolvete lo stesso sistema con il componente aggiuntivo Risolutore (Dati → Risolutore): celle variabili G13:G16, vincoli I13:I16 = G5:G8, nessun obiettivo da ottimizzare.</t>
  </si>
  <si>
    <t>D) (Ponte con la programmazione) Scrivete in Python la stessa risoluzione con numpy.linalg.solve(A, b) e confrontate con il risultato di Excel.</t>
  </si>
  <si>
    <t>CONSEGNA</t>
  </si>
  <si>
    <t>Salvate il file come Cognome_Nome_Sistemi4x4.xlsx e caricatelo su Classroom con le risposte alle domande dei passi 1, 2, 5, 7 scritte nel foglio "Lavoro" (colonna L).</t>
  </si>
  <si>
    <t>Sistema lineare 4×4 – foglio di lavoro studente</t>
  </si>
  <si>
    <t>Legenda:</t>
  </si>
  <si>
    <t>dati</t>
  </si>
  <si>
    <t>da compilare</t>
  </si>
  <si>
    <t>Matrice A</t>
  </si>
  <si>
    <t>x</t>
  </si>
  <si>
    <t>y</t>
  </si>
  <si>
    <t>z</t>
  </si>
  <si>
    <t>w</t>
  </si>
  <si>
    <t>B</t>
  </si>
  <si>
    <t>Risposte alle domande (passi 1, 2, 5, 7)</t>
  </si>
  <si>
    <t>equazione 1</t>
  </si>
  <si>
    <t>Passo 1:</t>
  </si>
  <si>
    <t>equazione 2</t>
  </si>
  <si>
    <t>equazione 3</t>
  </si>
  <si>
    <t>equazione 4</t>
  </si>
  <si>
    <t>Passo 2:</t>
  </si>
  <si>
    <t>det(A)</t>
  </si>
  <si>
    <t>esito</t>
  </si>
  <si>
    <t>Passo 5:</t>
  </si>
  <si>
    <t>Inversa A⁻¹</t>
  </si>
  <si>
    <t>X</t>
  </si>
  <si>
    <t>A·X</t>
  </si>
  <si>
    <t>A·X − B</t>
  </si>
  <si>
    <t>x =</t>
  </si>
  <si>
    <t>y =</t>
  </si>
  <si>
    <t>Passo 7:</t>
  </si>
  <si>
    <t>z =</t>
  </si>
  <si>
    <t>w =</t>
  </si>
  <si>
    <t>Controllo A·A⁻¹</t>
  </si>
  <si>
    <t>Esempio di formato atteso: in C10 deve comparire un numero (es. −162,00), non testo.</t>
  </si>
  <si>
    <t>Regola di Cramer</t>
  </si>
  <si>
    <t>Ak = A con la colonna k sostituita da B (solo riferimenti di cella)</t>
  </si>
  <si>
    <t>Ax</t>
  </si>
  <si>
    <t>det(Ax)</t>
  </si>
  <si>
    <t>Ay</t>
  </si>
  <si>
    <t>det(Ay)</t>
  </si>
  <si>
    <t>Az</t>
  </si>
  <si>
    <t>det(Az)</t>
  </si>
  <si>
    <t>Aw</t>
  </si>
  <si>
    <t>det(Aw)</t>
  </si>
  <si>
    <t>Confronto</t>
  </si>
  <si>
    <t>incognita</t>
  </si>
  <si>
    <t>A⁻¹·B</t>
  </si>
  <si>
    <t>Cramer</t>
  </si>
  <si>
    <t>differenza</t>
  </si>
  <si>
    <t>Sistema lineare 4×4 – SOLUZIONE (docente)</t>
  </si>
  <si>
    <t>formule</t>
  </si>
  <si>
    <t>Note per il docente</t>
  </si>
  <si>
    <t>Soluzione attesa: x = 2, y = −1, z = 3, w = 1.</t>
  </si>
  <si>
    <t>det(A) = −162; det(Ax) = −324, det(Ay) = 162, det(Az) = −486, det(Aw) = −162.</t>
  </si>
  <si>
    <t>Approfondimento A: con riga 4 = riga1+riga2 det = 0; b4 = 15 (=3+12) → indeterminato, b4 = 10 → impossibile.</t>
  </si>
  <si>
    <t>Le formule sono scritte in inglese nel file: Excel in italiano le mostra come MATR.DETERM, MATR.INVERSA, MATR.PRODOTTO.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</si>
</sst>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E+00"/>
  </numFmts>
  <fonts count="10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i/>
      <sz val="11"/>
      <color rgb="FF555555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sz val="12"/>
      <name val="Consolas"/>
      <charset val="1"/>
    </font>
    <font>
      <b/>
      <sz val="11"/>
      <name val="Arial"/>
      <charset val="1"/>
    </font>
    <font>
      <b/>
      <sz val="11"/>
      <color rgb="FF0000FF"/>
      <name val="Arial"/>
      <charset val="1"/>
    </font>
    <font>
      <i/>
      <sz val="11"/>
      <name val="Arial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CE9F7"/>
        <bgColor rgb="FFD9F2D9"/>
      </patternFill>
    </fill>
    <fill>
      <patternFill patternType="solid">
        <fgColor rgb="FFFFF2A8"/>
        <bgColor rgb="FFFFFFCC"/>
      </patternFill>
    </fill>
    <fill>
      <patternFill patternType="solid">
        <fgColor rgb="FFD9F2D9"/>
        <bgColor rgb="FFDCE9F7"/>
      </patternFill>
    </fill>
  </fills>
  <borders count="4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4" fillId="5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0" fillId="4" borderId="2" xfId="0" applyFill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1" fillId="0" borderId="0" xfId="0" applyFont="1"/>
    <xf numFmtId="0" fontId="6" fillId="0" borderId="0" xfId="0" applyFont="1"/>
    <xf numFmtId="0" fontId="0" fillId="3" borderId="1" xfId="0" applyFill="1" applyBorder="1"/>
    <xf numFmtId="0" fontId="4" fillId="0" borderId="0" xfId="0" applyFont="1"/>
    <xf numFmtId="0" fontId="0" fillId="4" borderId="1" xfId="0" applyFill="1" applyBorder="1"/>
    <xf numFmtId="0" fontId="3" fillId="2" borderId="0" xfId="0" applyFont="1" applyFill="1" applyAlignment="1">
      <alignment horizontal="center" vertical="center"/>
    </xf>
    <xf numFmtId="0" fontId="3" fillId="2" borderId="0" xfId="0" applyFont="1" applyFill="1"/>
    <xf numFmtId="0" fontId="7" fillId="3" borderId="1" xfId="0" applyFont="1" applyFill="1" applyBorder="1" applyAlignment="1">
      <alignment horizontal="center" vertical="center"/>
    </xf>
    <xf numFmtId="2" fontId="4" fillId="4" borderId="1" xfId="0" applyNumberFormat="1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165" fontId="4" fillId="4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wrapText="1"/>
    </xf>
    <xf numFmtId="0" fontId="8" fillId="0" borderId="0" xfId="0" applyFont="1"/>
    <xf numFmtId="0" fontId="4" fillId="4" borderId="1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166" fontId="4" fillId="4" borderId="1" xfId="0" applyNumberFormat="1" applyFont="1" applyFill="1" applyBorder="1" applyAlignment="1">
      <alignment horizontal="center" vertical="center"/>
    </xf>
    <xf numFmtId="0" fontId="0" fillId="5" borderId="1" xfId="0" applyFill="1" applyBorder="1"/>
    <xf numFmtId="2" fontId="4" fillId="5" borderId="1" xfId="0" applyNumberFormat="1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166" fontId="4" fillId="5" borderId="1" xfId="0" applyNumberFormat="1" applyFont="1" applyFill="1" applyBorder="1" applyAlignment="1">
      <alignment horizontal="center" vertical="center"/>
    </xf>
    <xf numFmtId="165" fontId="4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9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9"/>
      <rgbColor rgb="FFFFF2A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31"/>
  <sheetViews>
    <sheetView showGridLines="0" tabSelected="1" zoomScaleNormal="100" workbookViewId="0"/>
  </sheetViews>
  <sheetFormatPr defaultColWidth="8.7109375" defaultRowHeight="15" x14ac:dyDescent="0.25"/>
  <cols>
    <col min="1" max="1" width="4" customWidth="1"/>
    <col min="2" max="2" width="110" customWidth="1"/>
  </cols>
  <sheetData>
    <row r="1" spans="2:2" ht="21.75" customHeight="1" x14ac:dyDescent="0.25">
      <c r="B1" s="4" t="s">
        <v>0</v>
      </c>
    </row>
    <row r="2" spans="2:2" x14ac:dyDescent="0.25">
      <c r="B2" s="5" t="s">
        <v>1</v>
      </c>
    </row>
    <row r="4" spans="2:2" x14ac:dyDescent="0.25">
      <c r="B4" s="6" t="s">
        <v>2</v>
      </c>
    </row>
    <row r="5" spans="2:2" ht="72" customHeight="1" x14ac:dyDescent="0.25">
      <c r="B5" s="7" t="s">
        <v>3</v>
      </c>
    </row>
    <row r="6" spans="2:2" x14ac:dyDescent="0.25">
      <c r="B6" s="6" t="s">
        <v>4</v>
      </c>
    </row>
    <row r="7" spans="2:2" ht="31.5" customHeight="1" x14ac:dyDescent="0.25">
      <c r="B7" s="7" t="s">
        <v>5</v>
      </c>
    </row>
    <row r="9" spans="2:2" x14ac:dyDescent="0.25">
      <c r="B9" s="6" t="s">
        <v>6</v>
      </c>
    </row>
    <row r="10" spans="2:2" ht="78" customHeight="1" x14ac:dyDescent="0.25">
      <c r="B10" s="8" t="s">
        <v>7</v>
      </c>
    </row>
    <row r="12" spans="2:2" x14ac:dyDescent="0.25">
      <c r="B12" s="6" t="s">
        <v>8</v>
      </c>
    </row>
    <row r="13" spans="2:2" ht="99.75" customHeight="1" x14ac:dyDescent="0.25">
      <c r="B13" s="7" t="s">
        <v>9</v>
      </c>
    </row>
    <row r="15" spans="2:2" x14ac:dyDescent="0.25">
      <c r="B15" s="6" t="s">
        <v>10</v>
      </c>
    </row>
    <row r="16" spans="2:2" ht="57.75" customHeight="1" x14ac:dyDescent="0.25">
      <c r="B16" s="7" t="s">
        <v>11</v>
      </c>
    </row>
    <row r="17" spans="2:2" ht="57.75" customHeight="1" x14ac:dyDescent="0.25">
      <c r="B17" s="7" t="s">
        <v>12</v>
      </c>
    </row>
    <row r="18" spans="2:2" ht="57.75" customHeight="1" x14ac:dyDescent="0.25">
      <c r="B18" s="7" t="s">
        <v>13</v>
      </c>
    </row>
    <row r="19" spans="2:2" ht="57.75" customHeight="1" x14ac:dyDescent="0.25">
      <c r="B19" s="7" t="s">
        <v>14</v>
      </c>
    </row>
    <row r="20" spans="2:2" ht="57.75" customHeight="1" x14ac:dyDescent="0.25">
      <c r="B20" s="7" t="s">
        <v>15</v>
      </c>
    </row>
    <row r="21" spans="2:2" ht="57.75" customHeight="1" x14ac:dyDescent="0.25">
      <c r="B21" s="7" t="s">
        <v>16</v>
      </c>
    </row>
    <row r="22" spans="2:2" ht="57.75" customHeight="1" x14ac:dyDescent="0.25">
      <c r="B22" s="7" t="s">
        <v>17</v>
      </c>
    </row>
    <row r="24" spans="2:2" x14ac:dyDescent="0.25">
      <c r="B24" s="6" t="s">
        <v>18</v>
      </c>
    </row>
    <row r="25" spans="2:2" ht="60" customHeight="1" x14ac:dyDescent="0.25">
      <c r="B25" s="7" t="s">
        <v>19</v>
      </c>
    </row>
    <row r="26" spans="2:2" ht="31.5" customHeight="1" x14ac:dyDescent="0.25">
      <c r="B26" s="7" t="s">
        <v>20</v>
      </c>
    </row>
    <row r="27" spans="2:2" ht="31.5" customHeight="1" x14ac:dyDescent="0.25">
      <c r="B27" s="7" t="s">
        <v>21</v>
      </c>
    </row>
    <row r="28" spans="2:2" ht="31.5" customHeight="1" x14ac:dyDescent="0.25">
      <c r="B28" s="7" t="s">
        <v>22</v>
      </c>
    </row>
    <row r="30" spans="2:2" x14ac:dyDescent="0.25">
      <c r="B30" s="6" t="s">
        <v>23</v>
      </c>
    </row>
    <row r="31" spans="2:2" ht="31.5" customHeight="1" x14ac:dyDescent="0.25">
      <c r="B31" s="7" t="s">
        <v>24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9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7109375" defaultRowHeight="15" x14ac:dyDescent="0.25"/>
  <cols>
    <col min="1" max="1" width="14" customWidth="1"/>
    <col min="2" max="11" width="11" customWidth="1"/>
    <col min="12" max="12" width="50" customWidth="1"/>
  </cols>
  <sheetData>
    <row r="1" spans="1:12" ht="18" x14ac:dyDescent="0.25">
      <c r="A1" s="9" t="s">
        <v>25</v>
      </c>
    </row>
    <row r="2" spans="1:12" x14ac:dyDescent="0.25">
      <c r="A2" s="10" t="s">
        <v>26</v>
      </c>
      <c r="B2" s="11"/>
      <c r="C2" s="12" t="s">
        <v>27</v>
      </c>
      <c r="D2" s="13"/>
      <c r="E2" s="12" t="s">
        <v>28</v>
      </c>
    </row>
    <row r="4" spans="1:12" x14ac:dyDescent="0.25">
      <c r="A4" s="10" t="s">
        <v>29</v>
      </c>
      <c r="B4" s="14" t="s">
        <v>30</v>
      </c>
      <c r="C4" s="14" t="s">
        <v>31</v>
      </c>
      <c r="D4" s="14" t="s">
        <v>32</v>
      </c>
      <c r="E4" s="14" t="s">
        <v>33</v>
      </c>
      <c r="G4" s="14" t="s">
        <v>34</v>
      </c>
      <c r="L4" s="15" t="s">
        <v>35</v>
      </c>
    </row>
    <row r="5" spans="1:12" x14ac:dyDescent="0.25">
      <c r="A5" s="12" t="s">
        <v>36</v>
      </c>
      <c r="B5" s="16">
        <v>2</v>
      </c>
      <c r="C5" s="16">
        <v>1</v>
      </c>
      <c r="D5" s="16">
        <v>-1</v>
      </c>
      <c r="E5" s="16">
        <v>3</v>
      </c>
      <c r="G5" s="16">
        <v>3</v>
      </c>
      <c r="L5" s="10" t="s">
        <v>37</v>
      </c>
    </row>
    <row r="6" spans="1:12" x14ac:dyDescent="0.25">
      <c r="A6" s="12" t="s">
        <v>38</v>
      </c>
      <c r="B6" s="16">
        <v>1</v>
      </c>
      <c r="C6" s="16">
        <v>-2</v>
      </c>
      <c r="D6" s="16">
        <v>3</v>
      </c>
      <c r="E6" s="16">
        <v>-1</v>
      </c>
      <c r="G6" s="16">
        <v>12</v>
      </c>
      <c r="L6" s="3"/>
    </row>
    <row r="7" spans="1:12" x14ac:dyDescent="0.25">
      <c r="A7" s="12" t="s">
        <v>39</v>
      </c>
      <c r="B7" s="16">
        <v>3</v>
      </c>
      <c r="C7" s="16">
        <v>1</v>
      </c>
      <c r="D7" s="16">
        <v>2</v>
      </c>
      <c r="E7" s="16">
        <v>-2</v>
      </c>
      <c r="G7" s="16">
        <v>9</v>
      </c>
      <c r="L7" s="3"/>
    </row>
    <row r="8" spans="1:12" x14ac:dyDescent="0.25">
      <c r="A8" s="12" t="s">
        <v>40</v>
      </c>
      <c r="B8" s="16">
        <v>-1</v>
      </c>
      <c r="C8" s="16">
        <v>3</v>
      </c>
      <c r="D8" s="16">
        <v>1</v>
      </c>
      <c r="E8" s="16">
        <v>2</v>
      </c>
      <c r="G8" s="16">
        <v>0</v>
      </c>
      <c r="L8" s="10" t="s">
        <v>41</v>
      </c>
    </row>
    <row r="9" spans="1:12" x14ac:dyDescent="0.25">
      <c r="L9" s="3"/>
    </row>
    <row r="10" spans="1:12" x14ac:dyDescent="0.25">
      <c r="A10" s="10" t="s">
        <v>42</v>
      </c>
      <c r="C10" s="17"/>
      <c r="L10" s="3"/>
    </row>
    <row r="11" spans="1:12" x14ac:dyDescent="0.25">
      <c r="A11" s="10" t="s">
        <v>43</v>
      </c>
      <c r="C11" s="2"/>
      <c r="D11" s="2"/>
      <c r="E11" s="2"/>
      <c r="F11" s="2"/>
      <c r="L11" s="10" t="s">
        <v>44</v>
      </c>
    </row>
    <row r="12" spans="1:12" x14ac:dyDescent="0.25">
      <c r="A12" s="10" t="s">
        <v>45</v>
      </c>
      <c r="G12" s="14" t="s">
        <v>46</v>
      </c>
      <c r="I12" s="14" t="s">
        <v>47</v>
      </c>
      <c r="J12" s="14" t="s">
        <v>48</v>
      </c>
      <c r="L12" s="3"/>
    </row>
    <row r="13" spans="1:12" x14ac:dyDescent="0.25">
      <c r="B13" s="18"/>
      <c r="C13" s="18"/>
      <c r="D13" s="18"/>
      <c r="E13" s="18"/>
      <c r="F13" s="10" t="s">
        <v>49</v>
      </c>
      <c r="G13" s="18"/>
      <c r="I13" s="18"/>
      <c r="J13" s="18"/>
      <c r="L13" s="3"/>
    </row>
    <row r="14" spans="1:12" x14ac:dyDescent="0.25">
      <c r="B14" s="18"/>
      <c r="C14" s="18"/>
      <c r="D14" s="18"/>
      <c r="E14" s="18"/>
      <c r="F14" s="10" t="s">
        <v>50</v>
      </c>
      <c r="G14" s="18"/>
      <c r="I14" s="18"/>
      <c r="J14" s="18"/>
      <c r="L14" s="10" t="s">
        <v>51</v>
      </c>
    </row>
    <row r="15" spans="1:12" x14ac:dyDescent="0.25">
      <c r="B15" s="18"/>
      <c r="C15" s="18"/>
      <c r="D15" s="18"/>
      <c r="E15" s="18"/>
      <c r="F15" s="10" t="s">
        <v>52</v>
      </c>
      <c r="G15" s="18"/>
      <c r="I15" s="18"/>
      <c r="J15" s="18"/>
      <c r="L15" s="3"/>
    </row>
    <row r="16" spans="1:12" x14ac:dyDescent="0.25">
      <c r="B16" s="18"/>
      <c r="C16" s="18"/>
      <c r="D16" s="18"/>
      <c r="E16" s="18"/>
      <c r="F16" s="10" t="s">
        <v>53</v>
      </c>
      <c r="G16" s="18"/>
      <c r="I16" s="18"/>
      <c r="J16" s="18"/>
      <c r="L16" s="3"/>
    </row>
    <row r="18" spans="1:12" x14ac:dyDescent="0.25">
      <c r="A18" s="10" t="s">
        <v>54</v>
      </c>
    </row>
    <row r="19" spans="1:12" x14ac:dyDescent="0.25">
      <c r="B19" s="19"/>
      <c r="C19" s="19"/>
      <c r="D19" s="19"/>
      <c r="E19" s="19"/>
    </row>
    <row r="20" spans="1:12" ht="29.25" x14ac:dyDescent="0.25">
      <c r="B20" s="19"/>
      <c r="C20" s="19"/>
      <c r="D20" s="19"/>
      <c r="E20" s="19"/>
      <c r="L20" s="20" t="s">
        <v>55</v>
      </c>
    </row>
    <row r="21" spans="1:12" x14ac:dyDescent="0.25">
      <c r="B21" s="19"/>
      <c r="C21" s="19"/>
      <c r="D21" s="19"/>
      <c r="E21" s="19"/>
    </row>
    <row r="22" spans="1:12" x14ac:dyDescent="0.25">
      <c r="B22" s="19"/>
      <c r="C22" s="19"/>
      <c r="D22" s="19"/>
      <c r="E22" s="19"/>
    </row>
    <row r="24" spans="1:12" x14ac:dyDescent="0.25">
      <c r="A24" s="10" t="s">
        <v>56</v>
      </c>
      <c r="C24" s="21" t="s">
        <v>57</v>
      </c>
    </row>
    <row r="26" spans="1:12" x14ac:dyDescent="0.25">
      <c r="A26" s="10" t="s">
        <v>58</v>
      </c>
      <c r="B26" s="14" t="s">
        <v>34</v>
      </c>
      <c r="C26" s="14" t="s">
        <v>31</v>
      </c>
      <c r="D26" s="14" t="s">
        <v>32</v>
      </c>
      <c r="E26" s="14" t="s">
        <v>33</v>
      </c>
    </row>
    <row r="27" spans="1:12" x14ac:dyDescent="0.25">
      <c r="B27" s="22"/>
      <c r="C27" s="22"/>
      <c r="D27" s="22"/>
      <c r="E27" s="22"/>
      <c r="G27" s="10" t="s">
        <v>59</v>
      </c>
      <c r="H27" s="17"/>
    </row>
    <row r="28" spans="1:12" x14ac:dyDescent="0.25">
      <c r="B28" s="22"/>
      <c r="C28" s="22"/>
      <c r="D28" s="22"/>
      <c r="E28" s="22"/>
      <c r="G28" s="10" t="s">
        <v>49</v>
      </c>
      <c r="H28" s="18"/>
    </row>
    <row r="29" spans="1:12" x14ac:dyDescent="0.25">
      <c r="B29" s="22"/>
      <c r="C29" s="22"/>
      <c r="D29" s="22"/>
      <c r="E29" s="22"/>
    </row>
    <row r="30" spans="1:12" x14ac:dyDescent="0.25">
      <c r="B30" s="22"/>
      <c r="C30" s="22"/>
      <c r="D30" s="22"/>
      <c r="E30" s="22"/>
    </row>
    <row r="33" spans="1:8" x14ac:dyDescent="0.25">
      <c r="A33" s="10" t="s">
        <v>60</v>
      </c>
      <c r="B33" s="14" t="s">
        <v>30</v>
      </c>
      <c r="C33" s="14" t="s">
        <v>34</v>
      </c>
      <c r="D33" s="14" t="s">
        <v>32</v>
      </c>
      <c r="E33" s="14" t="s">
        <v>33</v>
      </c>
    </row>
    <row r="34" spans="1:8" x14ac:dyDescent="0.25">
      <c r="B34" s="22"/>
      <c r="C34" s="22"/>
      <c r="D34" s="22"/>
      <c r="E34" s="22"/>
      <c r="G34" s="10" t="s">
        <v>61</v>
      </c>
      <c r="H34" s="17"/>
    </row>
    <row r="35" spans="1:8" x14ac:dyDescent="0.25">
      <c r="B35" s="22"/>
      <c r="C35" s="22"/>
      <c r="D35" s="22"/>
      <c r="E35" s="22"/>
      <c r="G35" s="10" t="s">
        <v>50</v>
      </c>
      <c r="H35" s="18"/>
    </row>
    <row r="36" spans="1:8" x14ac:dyDescent="0.25">
      <c r="B36" s="22"/>
      <c r="C36" s="22"/>
      <c r="D36" s="22"/>
      <c r="E36" s="22"/>
    </row>
    <row r="37" spans="1:8" x14ac:dyDescent="0.25">
      <c r="B37" s="22"/>
      <c r="C37" s="22"/>
      <c r="D37" s="22"/>
      <c r="E37" s="22"/>
    </row>
    <row r="40" spans="1:8" x14ac:dyDescent="0.25">
      <c r="A40" s="10" t="s">
        <v>62</v>
      </c>
      <c r="B40" s="14" t="s">
        <v>30</v>
      </c>
      <c r="C40" s="14" t="s">
        <v>31</v>
      </c>
      <c r="D40" s="14" t="s">
        <v>34</v>
      </c>
      <c r="E40" s="14" t="s">
        <v>33</v>
      </c>
    </row>
    <row r="41" spans="1:8" x14ac:dyDescent="0.25">
      <c r="B41" s="22"/>
      <c r="C41" s="22"/>
      <c r="D41" s="22"/>
      <c r="E41" s="22"/>
      <c r="G41" s="10" t="s">
        <v>63</v>
      </c>
      <c r="H41" s="17"/>
    </row>
    <row r="42" spans="1:8" x14ac:dyDescent="0.25">
      <c r="B42" s="22"/>
      <c r="C42" s="22"/>
      <c r="D42" s="22"/>
      <c r="E42" s="22"/>
      <c r="G42" s="10" t="s">
        <v>52</v>
      </c>
      <c r="H42" s="18"/>
    </row>
    <row r="43" spans="1:8" x14ac:dyDescent="0.25">
      <c r="B43" s="22"/>
      <c r="C43" s="22"/>
      <c r="D43" s="22"/>
      <c r="E43" s="22"/>
    </row>
    <row r="44" spans="1:8" x14ac:dyDescent="0.25">
      <c r="B44" s="22"/>
      <c r="C44" s="22"/>
      <c r="D44" s="22"/>
      <c r="E44" s="22"/>
    </row>
    <row r="47" spans="1:8" x14ac:dyDescent="0.25">
      <c r="A47" s="10" t="s">
        <v>64</v>
      </c>
      <c r="B47" s="14" t="s">
        <v>30</v>
      </c>
      <c r="C47" s="14" t="s">
        <v>31</v>
      </c>
      <c r="D47" s="14" t="s">
        <v>32</v>
      </c>
      <c r="E47" s="14" t="s">
        <v>34</v>
      </c>
    </row>
    <row r="48" spans="1:8" x14ac:dyDescent="0.25">
      <c r="B48" s="22"/>
      <c r="C48" s="22"/>
      <c r="D48" s="22"/>
      <c r="E48" s="22"/>
      <c r="G48" s="10" t="s">
        <v>65</v>
      </c>
      <c r="H48" s="17"/>
    </row>
    <row r="49" spans="1:8" x14ac:dyDescent="0.25">
      <c r="B49" s="22"/>
      <c r="C49" s="22"/>
      <c r="D49" s="22"/>
      <c r="E49" s="22"/>
      <c r="G49" s="10" t="s">
        <v>53</v>
      </c>
      <c r="H49" s="18"/>
    </row>
    <row r="50" spans="1:8" x14ac:dyDescent="0.25">
      <c r="B50" s="22"/>
      <c r="C50" s="22"/>
      <c r="D50" s="22"/>
      <c r="E50" s="22"/>
    </row>
    <row r="51" spans="1:8" x14ac:dyDescent="0.25">
      <c r="B51" s="22"/>
      <c r="C51" s="22"/>
      <c r="D51" s="22"/>
      <c r="E51" s="22"/>
    </row>
    <row r="55" spans="1:8" x14ac:dyDescent="0.25">
      <c r="A55" s="10" t="s">
        <v>66</v>
      </c>
      <c r="B55" s="14" t="s">
        <v>67</v>
      </c>
      <c r="C55" s="14" t="s">
        <v>68</v>
      </c>
      <c r="D55" s="14" t="s">
        <v>69</v>
      </c>
      <c r="E55" s="14" t="s">
        <v>70</v>
      </c>
    </row>
    <row r="56" spans="1:8" x14ac:dyDescent="0.25">
      <c r="B56" s="23" t="s">
        <v>30</v>
      </c>
      <c r="C56" s="18"/>
      <c r="D56" s="18"/>
      <c r="E56" s="24"/>
    </row>
    <row r="57" spans="1:8" x14ac:dyDescent="0.25">
      <c r="B57" s="23" t="s">
        <v>31</v>
      </c>
      <c r="C57" s="18"/>
      <c r="D57" s="18"/>
      <c r="E57" s="24"/>
    </row>
    <row r="58" spans="1:8" x14ac:dyDescent="0.25">
      <c r="B58" s="23" t="s">
        <v>32</v>
      </c>
      <c r="C58" s="18"/>
      <c r="D58" s="18"/>
      <c r="E58" s="24"/>
    </row>
    <row r="59" spans="1:8" x14ac:dyDescent="0.25">
      <c r="B59" s="23" t="s">
        <v>33</v>
      </c>
      <c r="C59" s="18"/>
      <c r="D59" s="18"/>
      <c r="E59" s="24"/>
    </row>
  </sheetData>
  <mergeCells count="5">
    <mergeCell ref="L6:L7"/>
    <mergeCell ref="L9:L10"/>
    <mergeCell ref="C11:F11"/>
    <mergeCell ref="L12:L13"/>
    <mergeCell ref="L15:L16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9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7109375" defaultRowHeight="15" x14ac:dyDescent="0.25"/>
  <cols>
    <col min="1" max="1" width="14" customWidth="1"/>
    <col min="2" max="11" width="11" customWidth="1"/>
    <col min="12" max="12" width="50" customWidth="1"/>
  </cols>
  <sheetData>
    <row r="1" spans="1:12" ht="18" x14ac:dyDescent="0.25">
      <c r="A1" s="9" t="s">
        <v>71</v>
      </c>
    </row>
    <row r="2" spans="1:12" x14ac:dyDescent="0.25">
      <c r="A2" s="10" t="s">
        <v>26</v>
      </c>
      <c r="B2" s="11"/>
      <c r="C2" s="12" t="s">
        <v>27</v>
      </c>
      <c r="D2" s="25"/>
      <c r="E2" s="12" t="s">
        <v>72</v>
      </c>
    </row>
    <row r="4" spans="1:12" x14ac:dyDescent="0.25">
      <c r="A4" s="10" t="s">
        <v>29</v>
      </c>
      <c r="B4" s="14" t="s">
        <v>30</v>
      </c>
      <c r="C4" s="14" t="s">
        <v>31</v>
      </c>
      <c r="D4" s="14" t="s">
        <v>32</v>
      </c>
      <c r="E4" s="14" t="s">
        <v>33</v>
      </c>
      <c r="G4" s="14" t="s">
        <v>34</v>
      </c>
      <c r="L4" s="15" t="s">
        <v>73</v>
      </c>
    </row>
    <row r="5" spans="1:12" ht="30" customHeight="1" x14ac:dyDescent="0.25">
      <c r="A5" s="12" t="s">
        <v>36</v>
      </c>
      <c r="B5" s="16">
        <v>2</v>
      </c>
      <c r="C5" s="16">
        <v>1</v>
      </c>
      <c r="D5" s="16">
        <v>-1</v>
      </c>
      <c r="E5" s="16">
        <v>3</v>
      </c>
      <c r="G5" s="16">
        <v>3</v>
      </c>
      <c r="L5" s="7" t="s">
        <v>74</v>
      </c>
    </row>
    <row r="6" spans="1:12" x14ac:dyDescent="0.25">
      <c r="A6" s="12" t="s">
        <v>38</v>
      </c>
      <c r="B6" s="16">
        <v>1</v>
      </c>
      <c r="C6" s="16">
        <v>-2</v>
      </c>
      <c r="D6" s="16">
        <v>3</v>
      </c>
      <c r="E6" s="16">
        <v>-1</v>
      </c>
      <c r="G6" s="16">
        <v>12</v>
      </c>
    </row>
    <row r="7" spans="1:12" ht="30" customHeight="1" x14ac:dyDescent="0.25">
      <c r="A7" s="12" t="s">
        <v>39</v>
      </c>
      <c r="B7" s="16">
        <v>3</v>
      </c>
      <c r="C7" s="16">
        <v>1</v>
      </c>
      <c r="D7" s="16">
        <v>2</v>
      </c>
      <c r="E7" s="16">
        <v>-2</v>
      </c>
      <c r="G7" s="16">
        <v>9</v>
      </c>
      <c r="L7" s="7" t="s">
        <v>75</v>
      </c>
    </row>
    <row r="8" spans="1:12" x14ac:dyDescent="0.25">
      <c r="A8" s="12" t="s">
        <v>40</v>
      </c>
      <c r="B8" s="16">
        <v>-1</v>
      </c>
      <c r="C8" s="16">
        <v>3</v>
      </c>
      <c r="D8" s="16">
        <v>1</v>
      </c>
      <c r="E8" s="16">
        <v>2</v>
      </c>
      <c r="G8" s="16">
        <v>0</v>
      </c>
    </row>
    <row r="9" spans="1:12" ht="30" customHeight="1" x14ac:dyDescent="0.25">
      <c r="L9" s="7" t="s">
        <v>76</v>
      </c>
    </row>
    <row r="10" spans="1:12" x14ac:dyDescent="0.25">
      <c r="A10" s="10" t="s">
        <v>42</v>
      </c>
      <c r="C10" s="26">
        <f>MDETERM(B5:E8)</f>
        <v>-161.99999999999997</v>
      </c>
    </row>
    <row r="11" spans="1:12" ht="30" customHeight="1" x14ac:dyDescent="0.25">
      <c r="A11" s="10" t="s">
        <v>43</v>
      </c>
      <c r="C11" s="1" t="str">
        <f>IF(ABS(C10)&gt;0.000000001,"Sistema determinato","det = 0: sistema non determinato")</f>
        <v>Sistema determinato</v>
      </c>
      <c r="D11" s="1"/>
      <c r="E11" s="1"/>
      <c r="F11" s="1"/>
      <c r="L11" s="7" t="s">
        <v>77</v>
      </c>
    </row>
    <row r="12" spans="1:12" x14ac:dyDescent="0.25">
      <c r="A12" s="10" t="s">
        <v>45</v>
      </c>
      <c r="G12" s="14" t="s">
        <v>46</v>
      </c>
      <c r="I12" s="14" t="s">
        <v>47</v>
      </c>
      <c r="J12" s="14" t="s">
        <v>48</v>
      </c>
    </row>
    <row r="13" spans="1:12" x14ac:dyDescent="0.25">
      <c r="B13" s="27">
        <f t="array" ref="B13:E16">MINVERSE(B5:E8)</f>
        <v>0.19135802469135807</v>
      </c>
      <c r="C13" s="27">
        <v>-6.1728395061728487E-3</v>
      </c>
      <c r="D13" s="27">
        <v>0.16666666666666666</v>
      </c>
      <c r="E13" s="27">
        <v>-0.12345679012345678</v>
      </c>
      <c r="F13" s="10" t="s">
        <v>49</v>
      </c>
      <c r="G13" s="27">
        <f t="array" ref="G13:G16">MMULT(B13:E16,G5:G8)</f>
        <v>2</v>
      </c>
      <c r="I13" s="27">
        <f t="array" ref="I13:I16">MMULT(B5:E8,G13:G16)</f>
        <v>3.0000000000000009</v>
      </c>
      <c r="J13" s="28">
        <f>I13-G5</f>
        <v>0</v>
      </c>
    </row>
    <row r="14" spans="1:12" x14ac:dyDescent="0.25">
      <c r="B14" s="27">
        <v>-6.7901234567901245E-2</v>
      </c>
      <c r="C14" s="27">
        <v>-0.19135802469135799</v>
      </c>
      <c r="D14" s="27">
        <v>0.16666666666666666</v>
      </c>
      <c r="E14" s="27">
        <v>0.17283950617283947</v>
      </c>
      <c r="F14" s="10" t="s">
        <v>50</v>
      </c>
      <c r="G14" s="27">
        <v>-0.99999999999999956</v>
      </c>
      <c r="I14" s="27">
        <v>11.999999999999996</v>
      </c>
      <c r="J14" s="28">
        <f>I14-G6</f>
        <v>0</v>
      </c>
    </row>
    <row r="15" spans="1:12" x14ac:dyDescent="0.25">
      <c r="B15" s="27">
        <v>-3.7037037037037049E-2</v>
      </c>
      <c r="C15" s="27">
        <v>0.25925925925925924</v>
      </c>
      <c r="D15" s="27">
        <v>1.5860328923216521E-17</v>
      </c>
      <c r="E15" s="27">
        <v>0.18518518518518517</v>
      </c>
      <c r="F15" s="10" t="s">
        <v>52</v>
      </c>
      <c r="G15" s="27">
        <v>2.9999999999999996</v>
      </c>
      <c r="I15" s="27">
        <v>9</v>
      </c>
      <c r="J15" s="28">
        <f>I15-G7</f>
        <v>0</v>
      </c>
    </row>
    <row r="16" spans="1:12" x14ac:dyDescent="0.25">
      <c r="B16" s="27">
        <v>0.2160493827160494</v>
      </c>
      <c r="C16" s="27">
        <v>0.15432098765432098</v>
      </c>
      <c r="D16" s="27">
        <v>-0.16666666666666666</v>
      </c>
      <c r="E16" s="27">
        <v>8.6419753086419762E-2</v>
      </c>
      <c r="F16" s="10" t="s">
        <v>53</v>
      </c>
      <c r="G16" s="27">
        <v>1</v>
      </c>
      <c r="I16" s="27">
        <v>1.3322676295501878E-15</v>
      </c>
      <c r="J16" s="28">
        <f>I16-G8</f>
        <v>1.3322676295501878E-15</v>
      </c>
    </row>
    <row r="18" spans="1:8" x14ac:dyDescent="0.25">
      <c r="A18" s="10" t="s">
        <v>54</v>
      </c>
    </row>
    <row r="19" spans="1:8" x14ac:dyDescent="0.25">
      <c r="B19" s="29">
        <f t="array" ref="B19:E22">MMULT(B5:E8,B13:E16)</f>
        <v>1</v>
      </c>
      <c r="C19" s="29">
        <v>0</v>
      </c>
      <c r="D19" s="29">
        <v>0</v>
      </c>
      <c r="E19" s="29">
        <v>0</v>
      </c>
    </row>
    <row r="20" spans="1:8" x14ac:dyDescent="0.25">
      <c r="B20" s="29">
        <v>0</v>
      </c>
      <c r="C20" s="29">
        <v>0.99999999999999978</v>
      </c>
      <c r="D20" s="29">
        <v>5.5511151231257827E-17</v>
      </c>
      <c r="E20" s="29">
        <v>9.7144514654701197E-17</v>
      </c>
    </row>
    <row r="21" spans="1:8" x14ac:dyDescent="0.25">
      <c r="B21" s="29">
        <v>1.1102230246251565E-16</v>
      </c>
      <c r="C21" s="29">
        <v>0</v>
      </c>
      <c r="D21" s="29">
        <v>1</v>
      </c>
      <c r="E21" s="29">
        <v>-5.5511151231257827E-17</v>
      </c>
    </row>
    <row r="22" spans="1:8" x14ac:dyDescent="0.25">
      <c r="B22" s="29">
        <v>-5.5511151231257827E-17</v>
      </c>
      <c r="C22" s="29">
        <v>1.1102230246251565E-16</v>
      </c>
      <c r="D22" s="29">
        <v>5.5511151231257827E-17</v>
      </c>
      <c r="E22" s="29">
        <v>0.99999999999999989</v>
      </c>
    </row>
    <row r="24" spans="1:8" x14ac:dyDescent="0.25">
      <c r="A24" s="10" t="s">
        <v>56</v>
      </c>
      <c r="C24" s="21" t="s">
        <v>57</v>
      </c>
    </row>
    <row r="26" spans="1:8" x14ac:dyDescent="0.25">
      <c r="A26" s="10" t="s">
        <v>58</v>
      </c>
      <c r="B26" s="14" t="s">
        <v>34</v>
      </c>
      <c r="C26" s="14" t="s">
        <v>31</v>
      </c>
      <c r="D26" s="14" t="s">
        <v>32</v>
      </c>
      <c r="E26" s="14" t="s">
        <v>33</v>
      </c>
    </row>
    <row r="27" spans="1:8" x14ac:dyDescent="0.25">
      <c r="B27" s="30">
        <f>$G5</f>
        <v>3</v>
      </c>
      <c r="C27" s="30">
        <f t="shared" ref="C27:E30" si="0">C5</f>
        <v>1</v>
      </c>
      <c r="D27" s="30">
        <f t="shared" si="0"/>
        <v>-1</v>
      </c>
      <c r="E27" s="30">
        <f t="shared" si="0"/>
        <v>3</v>
      </c>
      <c r="G27" s="10" t="s">
        <v>59</v>
      </c>
      <c r="H27" s="26">
        <f>MDETERM(B27:E30)</f>
        <v>-324</v>
      </c>
    </row>
    <row r="28" spans="1:8" x14ac:dyDescent="0.25">
      <c r="B28" s="30">
        <f>$G6</f>
        <v>12</v>
      </c>
      <c r="C28" s="30">
        <f t="shared" si="0"/>
        <v>-2</v>
      </c>
      <c r="D28" s="30">
        <f t="shared" si="0"/>
        <v>3</v>
      </c>
      <c r="E28" s="30">
        <f t="shared" si="0"/>
        <v>-1</v>
      </c>
      <c r="G28" s="10" t="s">
        <v>49</v>
      </c>
      <c r="H28" s="27">
        <f>H27/$C$10</f>
        <v>2.0000000000000004</v>
      </c>
    </row>
    <row r="29" spans="1:8" x14ac:dyDescent="0.25">
      <c r="B29" s="30">
        <f>$G7</f>
        <v>9</v>
      </c>
      <c r="C29" s="30">
        <f t="shared" si="0"/>
        <v>1</v>
      </c>
      <c r="D29" s="30">
        <f t="shared" si="0"/>
        <v>2</v>
      </c>
      <c r="E29" s="30">
        <f t="shared" si="0"/>
        <v>-2</v>
      </c>
    </row>
    <row r="30" spans="1:8" x14ac:dyDescent="0.25">
      <c r="B30" s="30">
        <f>$G8</f>
        <v>0</v>
      </c>
      <c r="C30" s="30">
        <f t="shared" si="0"/>
        <v>3</v>
      </c>
      <c r="D30" s="30">
        <f t="shared" si="0"/>
        <v>1</v>
      </c>
      <c r="E30" s="30">
        <f t="shared" si="0"/>
        <v>2</v>
      </c>
    </row>
    <row r="33" spans="1:8" x14ac:dyDescent="0.25">
      <c r="A33" s="10" t="s">
        <v>60</v>
      </c>
      <c r="B33" s="14" t="s">
        <v>30</v>
      </c>
      <c r="C33" s="14" t="s">
        <v>34</v>
      </c>
      <c r="D33" s="14" t="s">
        <v>32</v>
      </c>
      <c r="E33" s="14" t="s">
        <v>33</v>
      </c>
    </row>
    <row r="34" spans="1:8" x14ac:dyDescent="0.25">
      <c r="B34" s="30">
        <f>B5</f>
        <v>2</v>
      </c>
      <c r="C34" s="30">
        <f>$G5</f>
        <v>3</v>
      </c>
      <c r="D34" s="30">
        <f t="shared" ref="D34:E37" si="1">D5</f>
        <v>-1</v>
      </c>
      <c r="E34" s="30">
        <f t="shared" si="1"/>
        <v>3</v>
      </c>
      <c r="G34" s="10" t="s">
        <v>61</v>
      </c>
      <c r="H34" s="26">
        <f>MDETERM(B34:E37)</f>
        <v>161.99999999999997</v>
      </c>
    </row>
    <row r="35" spans="1:8" x14ac:dyDescent="0.25">
      <c r="B35" s="30">
        <f>B6</f>
        <v>1</v>
      </c>
      <c r="C35" s="30">
        <f>$G6</f>
        <v>12</v>
      </c>
      <c r="D35" s="30">
        <f t="shared" si="1"/>
        <v>3</v>
      </c>
      <c r="E35" s="30">
        <f t="shared" si="1"/>
        <v>-1</v>
      </c>
      <c r="G35" s="10" t="s">
        <v>50</v>
      </c>
      <c r="H35" s="27">
        <f>H34/$C$10</f>
        <v>-1</v>
      </c>
    </row>
    <row r="36" spans="1:8" x14ac:dyDescent="0.25">
      <c r="B36" s="30">
        <f>B7</f>
        <v>3</v>
      </c>
      <c r="C36" s="30">
        <f>$G7</f>
        <v>9</v>
      </c>
      <c r="D36" s="30">
        <f t="shared" si="1"/>
        <v>2</v>
      </c>
      <c r="E36" s="30">
        <f t="shared" si="1"/>
        <v>-2</v>
      </c>
    </row>
    <row r="37" spans="1:8" x14ac:dyDescent="0.25">
      <c r="B37" s="30">
        <f>B8</f>
        <v>-1</v>
      </c>
      <c r="C37" s="30">
        <f>$G8</f>
        <v>0</v>
      </c>
      <c r="D37" s="30">
        <f t="shared" si="1"/>
        <v>1</v>
      </c>
      <c r="E37" s="30">
        <f t="shared" si="1"/>
        <v>2</v>
      </c>
    </row>
    <row r="40" spans="1:8" x14ac:dyDescent="0.25">
      <c r="A40" s="10" t="s">
        <v>62</v>
      </c>
      <c r="B40" s="14" t="s">
        <v>30</v>
      </c>
      <c r="C40" s="14" t="s">
        <v>31</v>
      </c>
      <c r="D40" s="14" t="s">
        <v>34</v>
      </c>
      <c r="E40" s="14" t="s">
        <v>33</v>
      </c>
    </row>
    <row r="41" spans="1:8" x14ac:dyDescent="0.25">
      <c r="B41" s="30">
        <f t="shared" ref="B41:C44" si="2">B5</f>
        <v>2</v>
      </c>
      <c r="C41" s="30">
        <f t="shared" si="2"/>
        <v>1</v>
      </c>
      <c r="D41" s="30">
        <f>$G5</f>
        <v>3</v>
      </c>
      <c r="E41" s="30">
        <f>E5</f>
        <v>3</v>
      </c>
      <c r="G41" s="10" t="s">
        <v>63</v>
      </c>
      <c r="H41" s="26">
        <f>MDETERM(B41:E44)</f>
        <v>-485.99999999999994</v>
      </c>
    </row>
    <row r="42" spans="1:8" x14ac:dyDescent="0.25">
      <c r="B42" s="30">
        <f t="shared" si="2"/>
        <v>1</v>
      </c>
      <c r="C42" s="30">
        <f t="shared" si="2"/>
        <v>-2</v>
      </c>
      <c r="D42" s="30">
        <f>$G6</f>
        <v>12</v>
      </c>
      <c r="E42" s="30">
        <f>E6</f>
        <v>-1</v>
      </c>
      <c r="G42" s="10" t="s">
        <v>52</v>
      </c>
      <c r="H42" s="27">
        <f>H41/$C$10</f>
        <v>3</v>
      </c>
    </row>
    <row r="43" spans="1:8" x14ac:dyDescent="0.25">
      <c r="B43" s="30">
        <f t="shared" si="2"/>
        <v>3</v>
      </c>
      <c r="C43" s="30">
        <f t="shared" si="2"/>
        <v>1</v>
      </c>
      <c r="D43" s="30">
        <f>$G7</f>
        <v>9</v>
      </c>
      <c r="E43" s="30">
        <f>E7</f>
        <v>-2</v>
      </c>
    </row>
    <row r="44" spans="1:8" x14ac:dyDescent="0.25">
      <c r="B44" s="30">
        <f t="shared" si="2"/>
        <v>-1</v>
      </c>
      <c r="C44" s="30">
        <f t="shared" si="2"/>
        <v>3</v>
      </c>
      <c r="D44" s="30">
        <f>$G8</f>
        <v>0</v>
      </c>
      <c r="E44" s="30">
        <f>E8</f>
        <v>2</v>
      </c>
    </row>
    <row r="47" spans="1:8" x14ac:dyDescent="0.25">
      <c r="A47" s="10" t="s">
        <v>64</v>
      </c>
      <c r="B47" s="14" t="s">
        <v>30</v>
      </c>
      <c r="C47" s="14" t="s">
        <v>31</v>
      </c>
      <c r="D47" s="14" t="s">
        <v>32</v>
      </c>
      <c r="E47" s="14" t="s">
        <v>34</v>
      </c>
    </row>
    <row r="48" spans="1:8" x14ac:dyDescent="0.25">
      <c r="B48" s="30">
        <f t="shared" ref="B48:D51" si="3">B5</f>
        <v>2</v>
      </c>
      <c r="C48" s="30">
        <f t="shared" si="3"/>
        <v>1</v>
      </c>
      <c r="D48" s="30">
        <f t="shared" si="3"/>
        <v>-1</v>
      </c>
      <c r="E48" s="30">
        <f>$G5</f>
        <v>3</v>
      </c>
      <c r="G48" s="10" t="s">
        <v>65</v>
      </c>
      <c r="H48" s="26">
        <f>MDETERM(B48:E51)</f>
        <v>-161.99999999999994</v>
      </c>
    </row>
    <row r="49" spans="1:8" x14ac:dyDescent="0.25">
      <c r="B49" s="30">
        <f t="shared" si="3"/>
        <v>1</v>
      </c>
      <c r="C49" s="30">
        <f t="shared" si="3"/>
        <v>-2</v>
      </c>
      <c r="D49" s="30">
        <f t="shared" si="3"/>
        <v>3</v>
      </c>
      <c r="E49" s="30">
        <f>$G6</f>
        <v>12</v>
      </c>
      <c r="G49" s="10" t="s">
        <v>53</v>
      </c>
      <c r="H49" s="27">
        <f>H48/$C$10</f>
        <v>0.99999999999999978</v>
      </c>
    </row>
    <row r="50" spans="1:8" x14ac:dyDescent="0.25">
      <c r="B50" s="30">
        <f t="shared" si="3"/>
        <v>3</v>
      </c>
      <c r="C50" s="30">
        <f t="shared" si="3"/>
        <v>1</v>
      </c>
      <c r="D50" s="30">
        <f t="shared" si="3"/>
        <v>2</v>
      </c>
      <c r="E50" s="30">
        <f>$G7</f>
        <v>9</v>
      </c>
    </row>
    <row r="51" spans="1:8" x14ac:dyDescent="0.25">
      <c r="B51" s="30">
        <f t="shared" si="3"/>
        <v>-1</v>
      </c>
      <c r="C51" s="30">
        <f t="shared" si="3"/>
        <v>3</v>
      </c>
      <c r="D51" s="30">
        <f t="shared" si="3"/>
        <v>1</v>
      </c>
      <c r="E51" s="30">
        <f>$G8</f>
        <v>0</v>
      </c>
    </row>
    <row r="55" spans="1:8" x14ac:dyDescent="0.25">
      <c r="A55" s="10" t="s">
        <v>66</v>
      </c>
      <c r="B55" s="14" t="s">
        <v>67</v>
      </c>
      <c r="C55" s="14" t="s">
        <v>68</v>
      </c>
      <c r="D55" s="14" t="s">
        <v>69</v>
      </c>
      <c r="E55" s="14" t="s">
        <v>70</v>
      </c>
    </row>
    <row r="56" spans="1:8" x14ac:dyDescent="0.25">
      <c r="B56" s="23" t="s">
        <v>30</v>
      </c>
      <c r="C56" s="27">
        <f>G13</f>
        <v>2</v>
      </c>
      <c r="D56" s="27">
        <f>H28</f>
        <v>2.0000000000000004</v>
      </c>
      <c r="E56" s="28">
        <f>C56-D56</f>
        <v>0</v>
      </c>
    </row>
    <row r="57" spans="1:8" x14ac:dyDescent="0.25">
      <c r="B57" s="23" t="s">
        <v>31</v>
      </c>
      <c r="C57" s="27">
        <f>G14</f>
        <v>-0.99999999999999956</v>
      </c>
      <c r="D57" s="27">
        <f>H35</f>
        <v>-1</v>
      </c>
      <c r="E57" s="28">
        <f>C57-D57</f>
        <v>0</v>
      </c>
    </row>
    <row r="58" spans="1:8" x14ac:dyDescent="0.25">
      <c r="B58" s="23" t="s">
        <v>32</v>
      </c>
      <c r="C58" s="27">
        <f>G15</f>
        <v>2.9999999999999996</v>
      </c>
      <c r="D58" s="27">
        <f>H42</f>
        <v>3</v>
      </c>
      <c r="E58" s="28">
        <f>C58-D58</f>
        <v>0</v>
      </c>
    </row>
    <row r="59" spans="1:8" x14ac:dyDescent="0.25">
      <c r="B59" s="23" t="s">
        <v>33</v>
      </c>
      <c r="C59" s="27">
        <f>G16</f>
        <v>1</v>
      </c>
      <c r="D59" s="27">
        <f>H49</f>
        <v>0.99999999999999978</v>
      </c>
      <c r="E59" s="28">
        <f>C59-D59</f>
        <v>0</v>
      </c>
    </row>
  </sheetData>
  <mergeCells count="1">
    <mergeCell ref="C11:F11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Consegna</vt:lpstr>
      <vt:lpstr>Lavoro</vt:lpstr>
      <vt:lpstr>Soluzione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Antonio Adinolfi</cp:lastModifiedBy>
  <cp:revision>0</cp:revision>
  <dcterms:created xsi:type="dcterms:W3CDTF">2026-10-27T05:59:35Z</dcterms:created>
  <dcterms:modified xsi:type="dcterms:W3CDTF">2026-10-27T06:05:27Z</dcterms:modified>
  <dc:language>en-US</dc:language>
</cp:coreProperties>
</file>